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diaz/Dropbox/USM/MBA Direccion Financiera 2026/Excel Files/"/>
    </mc:Choice>
  </mc:AlternateContent>
  <xr:revisionPtr revIDLastSave="0" documentId="13_ncr:1_{0A30629B-B4A1-AF4E-869D-E414FC25C1E9}" xr6:coauthVersionLast="47" xr6:coauthVersionMax="47" xr10:uidLastSave="{00000000-0000-0000-0000-000000000000}"/>
  <bookViews>
    <workbookView xWindow="1540" yWindow="1620" windowWidth="28840" windowHeight="19180" xr2:uid="{CBADC4CA-F773-5A43-A006-A2336B1EAD13}"/>
  </bookViews>
  <sheets>
    <sheet name="Sheet1" sheetId="1" r:id="rId1"/>
  </sheets>
  <definedNames>
    <definedName name="solver_adj" localSheetId="0" hidden="1">Sheet1!$C$13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Sheet1!$C$12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313</definedName>
    <definedName name="solver_ver" localSheetId="0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12" i="1" s="1"/>
  <c r="F10" i="1"/>
  <c r="F12" i="1" s="1"/>
  <c r="G10" i="1"/>
  <c r="G12" i="1" s="1"/>
  <c r="H10" i="1"/>
  <c r="H12" i="1" s="1"/>
  <c r="D10" i="1"/>
  <c r="D12" i="1" s="1"/>
  <c r="C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Diaz</author>
  </authors>
  <commentList>
    <comment ref="D7" authorId="0" shapeId="0" xr:uid="{76FDE8E0-5795-6A4F-BCE0-835CF0912B9A}">
      <text>
        <r>
          <rPr>
            <b/>
            <sz val="10"/>
            <color rgb="FF000000"/>
            <rFont val="Tahoma"/>
            <family val="2"/>
          </rPr>
          <t>Fernando Diaz: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dividend amount based on historical stability of past dividends. Source: Stock Events, https://stockevents.app/en/stock/AAPL/dividends</t>
        </r>
      </text>
    </comment>
    <comment ref="E7" authorId="0" shapeId="0" xr:uid="{0E7C1FDE-3BD2-8047-856A-0D0AE7B7C53E}">
      <text>
        <r>
          <rPr>
            <b/>
            <sz val="10"/>
            <color rgb="FF000000"/>
            <rFont val="Tahoma"/>
            <family val="2"/>
          </rPr>
          <t>Fernando Diaz: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dividend amount based on historical stability of past dividends. Source: Stock Events, https://stockevents.app/en/stock/AAPL/dividends</t>
        </r>
      </text>
    </comment>
    <comment ref="F7" authorId="0" shapeId="0" xr:uid="{08EE6E97-BA0F-3043-AFC2-7A087663FDE5}">
      <text>
        <r>
          <rPr>
            <b/>
            <sz val="10"/>
            <color rgb="FF000000"/>
            <rFont val="Tahoma"/>
            <family val="2"/>
          </rPr>
          <t>Fernando Diaz: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dividend amount based on historical stability of past dividends. Source: Stock Events, https://stockevents.app/en/stock/AAPL/dividends</t>
        </r>
      </text>
    </comment>
    <comment ref="G7" authorId="0" shapeId="0" xr:uid="{70FB6E2C-B7E0-9048-81C7-26C0D41FBB69}">
      <text>
        <r>
          <rPr>
            <b/>
            <sz val="10"/>
            <color rgb="FF000000"/>
            <rFont val="Tahoma"/>
            <family val="2"/>
          </rPr>
          <t>Fernando Diaz: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dividend amount based on historical stability of past dividends. Source: Stock Events, https://stockevents.app/en/stock/AAPL/dividends</t>
        </r>
      </text>
    </comment>
    <comment ref="C13" authorId="0" shapeId="0" xr:uid="{D791FBF8-F6D7-8949-A51F-9F50B486CF6B}">
      <text>
        <r>
          <rPr>
            <b/>
            <sz val="10"/>
            <color rgb="FF000000"/>
            <rFont val="Tahoma"/>
            <family val="2"/>
          </rPr>
          <t>Fernando Diaz: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Discount rate that equates current price (C7) to present value of expected dividends + 1-year target estimate (C12).</t>
        </r>
      </text>
    </comment>
  </commentList>
</comments>
</file>

<file path=xl/sharedStrings.xml><?xml version="1.0" encoding="utf-8"?>
<sst xmlns="http://schemas.openxmlformats.org/spreadsheetml/2006/main" count="21" uniqueCount="19">
  <si>
    <t>Apple Inc.</t>
  </si>
  <si>
    <t>(AAPL)</t>
  </si>
  <si>
    <t>Current Date</t>
  </si>
  <si>
    <t>Price</t>
  </si>
  <si>
    <t>Sources</t>
  </si>
  <si>
    <t>https://stockevents.app/en/stock/AAPL/dividends</t>
  </si>
  <si>
    <t>Stock Events</t>
  </si>
  <si>
    <t>Yahoo Finance</t>
  </si>
  <si>
    <t>Dividend Date</t>
  </si>
  <si>
    <t>Dividend Date (Assumption)</t>
  </si>
  <si>
    <t>I Year Date (Target Estimate)</t>
  </si>
  <si>
    <t>Days from Current Date</t>
  </si>
  <si>
    <t>Present Value</t>
  </si>
  <si>
    <t>Calendar Days</t>
  </si>
  <si>
    <t>Working Days</t>
  </si>
  <si>
    <t>Note: The dividend dates (E5:G5) and the $0.27 dividend amount (D7:G7) are assumed, based on the stability of AAPL's historical dividend payments. Source: Stock Events, https://stockevents.app/en/stock/AAPL/dividends</t>
  </si>
  <si>
    <t>Note: Return (C13) is the discount rate that equates the current price (C7) to the present value of the expected dividends plus the 1-year target price estimate (sum of D12:H12 shown in C12).</t>
  </si>
  <si>
    <t>Return (Anual)</t>
  </si>
  <si>
    <t>Note: Return (C13) was obtained using Excel Solver. Solver was set up to change C13 (the discount rate) so that the Present Value (C12) equals the Current Price (C7) — i.e., solving for the annual return implied by the market price given the expected dividends and 1-year target estimate. See Solver screenshots beside.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</si>
</sst>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]dddd\,\ mmmm\ d\,\ yyyy;@" x16r2:formatCode16="[$-en-CL,1]dddd\,\ mmmm\ d\,\ yyyy;@"/>
    <numFmt numFmtId="172" formatCode="0.0000"/>
  </numFmts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NumberForma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172" fontId="0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/>
    <xf numFmtId="10" fontId="0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22</xdr:row>
      <xdr:rowOff>76200</xdr:rowOff>
    </xdr:from>
    <xdr:to>
      <xdr:col>3</xdr:col>
      <xdr:colOff>1508770</xdr:colOff>
      <xdr:row>38</xdr:row>
      <xdr:rowOff>177963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1CCB7-0D11-AB5A-7A36-50DB295A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4546600"/>
          <a:ext cx="4886970" cy="5054763"/>
        </a:xfrm>
        <a:prstGeom prst="rect">
          <a:avLst/>
        </a:prstGeom>
      </xdr:spPr>
    </xdr:pic>
    <xdr:clientData/>
  </xdr:twoCellAnchor>
  <xdr:twoCellAnchor editAs="oneCell">
    <xdr:from>
      <xdr:col>4</xdr:col>
      <xdr:colOff>393700</xdr:colOff>
      <xdr:row>23</xdr:row>
      <xdr:rowOff>50800</xdr:rowOff>
    </xdr:from>
    <xdr:to>
      <xdr:col>6</xdr:col>
      <xdr:colOff>1727200</xdr:colOff>
      <xdr:row>48</xdr:row>
      <xdr:rowOff>127000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E31268-CB86-02EE-A517-F73FE9DB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4200" y="4724400"/>
          <a:ext cx="5054600" cy="6858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1275F8-F4FA-4645-98A7-FA238680A056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346b4363-2054-4963-ae97-fda5df176b8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stockevents.app/en/stock/AAPL/dividends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294-BE9B-4545-AB7B-1BD1E408A4B4}">
  <dimension ref="A2:H37"/>
  <sheetViews>
    <sheetView tabSelected="1" topLeftCell="A4" workbookViewId="0">
      <selection activeCell="C13" sqref="C13"/>
    </sheetView>
  </sheetViews>
  <sheetFormatPr baseColWidth="10" defaultRowHeight="16" x14ac:dyDescent="0.2"/>
  <cols>
    <col min="2" max="2" width="13" bestFit="1" customWidth="1"/>
    <col min="3" max="4" width="31" customWidth="1"/>
    <col min="5" max="5" width="25" bestFit="1" customWidth="1"/>
    <col min="6" max="6" width="23.83203125" customWidth="1"/>
    <col min="7" max="7" width="24" bestFit="1" customWidth="1"/>
    <col min="8" max="8" width="24.5" bestFit="1" customWidth="1"/>
  </cols>
  <sheetData>
    <row r="2" spans="1:8" x14ac:dyDescent="0.2">
      <c r="B2" t="s">
        <v>0</v>
      </c>
      <c r="C2" t="s">
        <v>1</v>
      </c>
    </row>
    <row r="5" spans="1:8" x14ac:dyDescent="0.2">
      <c r="B5" s="5"/>
      <c r="C5" s="6" t="s">
        <v>2</v>
      </c>
      <c r="D5" s="6" t="s">
        <v>8</v>
      </c>
      <c r="E5" s="6" t="s">
        <v>9</v>
      </c>
      <c r="F5" s="6" t="s">
        <v>9</v>
      </c>
      <c r="G5" s="6" t="s">
        <v>9</v>
      </c>
      <c r="H5" s="6" t="s">
        <v>10</v>
      </c>
    </row>
    <row r="6" spans="1:8" x14ac:dyDescent="0.2">
      <c r="B6" s="5"/>
      <c r="C6" s="7">
        <v>46241</v>
      </c>
      <c r="D6" s="7">
        <v>46246</v>
      </c>
      <c r="E6" s="7">
        <v>46338</v>
      </c>
      <c r="F6" s="7">
        <v>46429</v>
      </c>
      <c r="G6" s="7">
        <v>46518</v>
      </c>
      <c r="H6" s="7">
        <v>46606</v>
      </c>
    </row>
    <row r="7" spans="1:8" x14ac:dyDescent="0.2">
      <c r="B7" s="5" t="s">
        <v>3</v>
      </c>
      <c r="C7" s="5">
        <v>313</v>
      </c>
      <c r="D7" s="5">
        <v>0.27</v>
      </c>
      <c r="E7" s="5">
        <v>0.27</v>
      </c>
      <c r="F7" s="5">
        <v>0.27</v>
      </c>
      <c r="G7" s="5">
        <v>0.27</v>
      </c>
      <c r="H7" s="5">
        <v>323</v>
      </c>
    </row>
    <row r="8" spans="1:8" x14ac:dyDescent="0.2">
      <c r="B8" s="12" t="s">
        <v>15</v>
      </c>
    </row>
    <row r="9" spans="1:8" x14ac:dyDescent="0.2">
      <c r="B9" s="8"/>
      <c r="C9" s="9"/>
      <c r="D9" s="10" t="s">
        <v>11</v>
      </c>
      <c r="E9" s="10"/>
      <c r="F9" s="10"/>
      <c r="G9" s="10"/>
      <c r="H9" s="10"/>
    </row>
    <row r="10" spans="1:8" x14ac:dyDescent="0.2">
      <c r="B10" s="8"/>
      <c r="C10" s="11">
        <v>0</v>
      </c>
      <c r="D10" s="11">
        <f>D6-$C$6</f>
        <v>5</v>
      </c>
      <c r="E10" s="11">
        <f t="shared" ref="E10:H10" si="0">E6-$C$6</f>
        <v>97</v>
      </c>
      <c r="F10" s="11">
        <f t="shared" si="0"/>
        <v>188</v>
      </c>
      <c r="G10" s="11">
        <f t="shared" si="0"/>
        <v>277</v>
      </c>
      <c r="H10" s="11">
        <f t="shared" si="0"/>
        <v>365</v>
      </c>
    </row>
    <row r="12" spans="1:8" x14ac:dyDescent="0.2">
      <c r="B12" t="s">
        <v>12</v>
      </c>
      <c r="C12" s="13">
        <f>D12+E12+F12+G12+H12</f>
        <v>312.99980214926302</v>
      </c>
      <c r="D12" s="13">
        <f>D7*EXP(-$C$13*D10/$C$15)</f>
        <v>0.26987109721559666</v>
      </c>
      <c r="E12" s="13">
        <f>E7*EXP(-$C$13*E10/$C$15)</f>
        <v>0.26751023937148255</v>
      </c>
      <c r="F12" s="13">
        <f>F7*EXP(-$C$13*F10/$C$15)</f>
        <v>0.2651953611646915</v>
      </c>
      <c r="G12" s="13">
        <f>G7*EXP(-$C$13*G10/$C$15)</f>
        <v>0.26295073669947799</v>
      </c>
      <c r="H12" s="13">
        <f>H7*EXP(-$C$13*H10/$C$15)</f>
        <v>311.93427471481175</v>
      </c>
    </row>
    <row r="13" spans="1:8" x14ac:dyDescent="0.2">
      <c r="A13" s="15"/>
      <c r="B13" s="15" t="s">
        <v>17</v>
      </c>
      <c r="C13" s="16">
        <v>3.4859815570026917E-2</v>
      </c>
      <c r="D13" s="15"/>
      <c r="E13" s="15"/>
      <c r="F13" s="15"/>
      <c r="G13" s="15"/>
      <c r="H13" s="15"/>
    </row>
    <row r="14" spans="1:8" x14ac:dyDescent="0.2">
      <c r="B14" s="12" t="s">
        <v>16</v>
      </c>
      <c r="C14" s="4"/>
    </row>
    <row r="15" spans="1:8" x14ac:dyDescent="0.2">
      <c r="B15" t="s">
        <v>13</v>
      </c>
      <c r="C15">
        <v>365</v>
      </c>
    </row>
    <row r="16" spans="1:8" x14ac:dyDescent="0.2">
      <c r="B16" t="s">
        <v>14</v>
      </c>
      <c r="C16">
        <v>250</v>
      </c>
    </row>
    <row r="18" spans="2:8" x14ac:dyDescent="0.2">
      <c r="B18" t="s">
        <v>4</v>
      </c>
      <c r="C18" s="2" t="s">
        <v>7</v>
      </c>
    </row>
    <row r="19" spans="2:8" x14ac:dyDescent="0.2">
      <c r="C19" s="1" t="s">
        <v>6</v>
      </c>
      <c r="D19" s="3" t="s">
        <v>5</v>
      </c>
    </row>
    <row r="24" spans="2:8" ht="150" x14ac:dyDescent="0.2">
      <c r="H24" s="14" t="s">
        <v>18</v>
      </c>
    </row>
    <row r="37" spans="8:8" x14ac:dyDescent="0.2">
      <c r="H37">
        <v>0</v>
      </c>
    </row>
  </sheetData>
  <mergeCells count="1">
    <mergeCell ref="D9:H9"/>
  </mergeCells>
  <hyperlinks>
    <hyperlink ref="D19" r:id="rId1" xr:uid="{194E9289-071B-104C-9FE4-4F4A3009AEA1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Diaz</dc:creator>
  <cp:lastModifiedBy>Fernando Diaz</cp:lastModifiedBy>
  <dcterms:created xsi:type="dcterms:W3CDTF">2026-08-09T16:45:35Z</dcterms:created>
  <dcterms:modified xsi:type="dcterms:W3CDTF">2026-08-09T17:47:40Z</dcterms:modified>
</cp:coreProperties>
</file>